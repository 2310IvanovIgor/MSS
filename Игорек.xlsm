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Игорь\Downloads\"/>
    </mc:Choice>
  </mc:AlternateContent>
  <xr:revisionPtr revIDLastSave="0" documentId="13_ncr:1_{6B1B69E6-2146-46F1-85A4-6A7DD591F68A}" xr6:coauthVersionLast="46" xr6:coauthVersionMax="46" xr10:uidLastSave="{00000000-0000-0000-0000-000000000000}"/>
  <bookViews>
    <workbookView xWindow="-108" yWindow="-108" windowWidth="23256" windowHeight="12576" activeTab="2" xr2:uid="{00000000-000D-0000-FFFF-FFFF00000000}"/>
  </bookViews>
  <sheets>
    <sheet name="Лист1" sheetId="2" r:id="rId1"/>
    <sheet name="Лист2" sheetId="6" r:id="rId2"/>
    <sheet name="Лист3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6" l="1"/>
  <c r="B2" i="6" l="1"/>
  <c r="AG15" i="2"/>
  <c r="Y15" i="2"/>
  <c r="U15" i="2"/>
  <c r="Q15" i="2"/>
  <c r="I15" i="2"/>
  <c r="AJ12" i="2"/>
  <c r="B3" i="2"/>
  <c r="AF14" i="2" s="1"/>
  <c r="B2" i="2"/>
  <c r="AI15" i="2" s="1"/>
  <c r="I15" i="6" l="1"/>
  <c r="M15" i="6"/>
  <c r="Q15" i="6"/>
  <c r="U15" i="6"/>
  <c r="Y15" i="6"/>
  <c r="AC15" i="6"/>
  <c r="AG15" i="6"/>
  <c r="J15" i="6"/>
  <c r="N15" i="6"/>
  <c r="R15" i="6"/>
  <c r="V15" i="6"/>
  <c r="Z15" i="6"/>
  <c r="AD15" i="6"/>
  <c r="AH15" i="6"/>
  <c r="K15" i="6"/>
  <c r="O15" i="6"/>
  <c r="S15" i="6"/>
  <c r="W15" i="6"/>
  <c r="AA15" i="6"/>
  <c r="AE15" i="6"/>
  <c r="AI15" i="6"/>
  <c r="H15" i="6"/>
  <c r="L15" i="6"/>
  <c r="P15" i="6"/>
  <c r="T15" i="6"/>
  <c r="X15" i="6"/>
  <c r="AB15" i="6"/>
  <c r="AF15" i="6"/>
  <c r="F12" i="6"/>
  <c r="G15" i="6" s="1"/>
  <c r="M15" i="2"/>
  <c r="AC15" i="2"/>
  <c r="B3" i="6"/>
  <c r="G11" i="6"/>
  <c r="H11" i="6" s="1"/>
  <c r="I11" i="6" s="1"/>
  <c r="J11" i="6" s="1"/>
  <c r="K11" i="6" s="1"/>
  <c r="L11" i="6" s="1"/>
  <c r="M11" i="6" s="1"/>
  <c r="N11" i="6" s="1"/>
  <c r="O11" i="6" s="1"/>
  <c r="P11" i="6" s="1"/>
  <c r="Q11" i="6" s="1"/>
  <c r="R11" i="6" s="1"/>
  <c r="S11" i="6" s="1"/>
  <c r="T11" i="6" s="1"/>
  <c r="U11" i="6" s="1"/>
  <c r="V11" i="6" s="1"/>
  <c r="W11" i="6" s="1"/>
  <c r="X11" i="6" s="1"/>
  <c r="Y11" i="6" s="1"/>
  <c r="Z11" i="6" s="1"/>
  <c r="AA11" i="6" s="1"/>
  <c r="AB11" i="6" s="1"/>
  <c r="AC11" i="6" s="1"/>
  <c r="AD11" i="6" s="1"/>
  <c r="AE11" i="6" s="1"/>
  <c r="AF11" i="6" s="1"/>
  <c r="AG11" i="6" s="1"/>
  <c r="AH11" i="6" s="1"/>
  <c r="AI11" i="6" s="1"/>
  <c r="AJ11" i="6" s="1"/>
  <c r="N14" i="2"/>
  <c r="V14" i="2"/>
  <c r="AD14" i="2"/>
  <c r="AH14" i="2"/>
  <c r="F12" i="2"/>
  <c r="G15" i="2" s="1"/>
  <c r="I14" i="2"/>
  <c r="M14" i="2"/>
  <c r="Q14" i="2"/>
  <c r="U14" i="2"/>
  <c r="Y14" i="2"/>
  <c r="AC14" i="2"/>
  <c r="AG14" i="2"/>
  <c r="H15" i="2"/>
  <c r="L15" i="2"/>
  <c r="P15" i="2"/>
  <c r="T15" i="2"/>
  <c r="X15" i="2"/>
  <c r="AB15" i="2"/>
  <c r="AF15" i="2"/>
  <c r="J14" i="2"/>
  <c r="R14" i="2"/>
  <c r="G11" i="2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J11" i="2" s="1"/>
  <c r="G14" i="2"/>
  <c r="K14" i="2"/>
  <c r="O14" i="2"/>
  <c r="S14" i="2"/>
  <c r="W14" i="2"/>
  <c r="AA14" i="2"/>
  <c r="AE14" i="2"/>
  <c r="AI14" i="2"/>
  <c r="J15" i="2"/>
  <c r="N15" i="2"/>
  <c r="R15" i="2"/>
  <c r="V15" i="2"/>
  <c r="Z15" i="2"/>
  <c r="AD15" i="2"/>
  <c r="AH15" i="2"/>
  <c r="Z14" i="2"/>
  <c r="H14" i="2"/>
  <c r="L14" i="2"/>
  <c r="P14" i="2"/>
  <c r="T14" i="2"/>
  <c r="X14" i="2"/>
  <c r="AB14" i="2"/>
  <c r="K15" i="2"/>
  <c r="O15" i="2"/>
  <c r="S15" i="2"/>
  <c r="W15" i="2"/>
  <c r="AA15" i="2"/>
  <c r="AE15" i="2"/>
  <c r="H14" i="6" l="1"/>
  <c r="I14" i="6"/>
  <c r="M14" i="6"/>
  <c r="Q14" i="6"/>
  <c r="U14" i="6"/>
  <c r="Y14" i="6"/>
  <c r="AC14" i="6"/>
  <c r="AG14" i="6"/>
  <c r="N14" i="6"/>
  <c r="R14" i="6"/>
  <c r="V14" i="6"/>
  <c r="Z14" i="6"/>
  <c r="AD14" i="6"/>
  <c r="AH14" i="6"/>
  <c r="O14" i="6"/>
  <c r="S14" i="6"/>
  <c r="W14" i="6"/>
  <c r="AA14" i="6"/>
  <c r="AE14" i="6"/>
  <c r="AI14" i="6"/>
  <c r="L14" i="6"/>
  <c r="P14" i="6"/>
  <c r="T14" i="6"/>
  <c r="X14" i="6"/>
  <c r="AB14" i="6"/>
  <c r="AF14" i="6"/>
  <c r="J14" i="6"/>
  <c r="K14" i="6"/>
  <c r="G14" i="6"/>
  <c r="AJ12" i="1"/>
  <c r="B2" i="1"/>
  <c r="B3" i="1" l="1"/>
  <c r="M15" i="1"/>
  <c r="J15" i="1"/>
  <c r="N15" i="1"/>
  <c r="R15" i="1"/>
  <c r="V15" i="1"/>
  <c r="Z15" i="1"/>
  <c r="AD15" i="1"/>
  <c r="AH15" i="1"/>
  <c r="K15" i="1"/>
  <c r="S15" i="1"/>
  <c r="W15" i="1"/>
  <c r="AE15" i="1"/>
  <c r="AI15" i="1"/>
  <c r="H15" i="1"/>
  <c r="L15" i="1"/>
  <c r="T15" i="1"/>
  <c r="AB15" i="1"/>
  <c r="F12" i="1"/>
  <c r="G15" i="1" s="1"/>
  <c r="Q15" i="1"/>
  <c r="Y15" i="1"/>
  <c r="AC15" i="1"/>
  <c r="O15" i="1"/>
  <c r="AA15" i="1"/>
  <c r="P15" i="1"/>
  <c r="X15" i="1"/>
  <c r="AF15" i="1"/>
  <c r="I15" i="1"/>
  <c r="U15" i="1"/>
  <c r="AG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F14" i="1"/>
  <c r="K14" i="1"/>
  <c r="Y14" i="1"/>
  <c r="M14" i="1"/>
  <c r="I14" i="1"/>
  <c r="AB14" i="1"/>
  <c r="H14" i="1"/>
  <c r="U14" i="1"/>
  <c r="L14" i="1"/>
  <c r="AI14" i="1"/>
  <c r="AC14" i="1"/>
  <c r="X14" i="1"/>
  <c r="AG14" i="1"/>
  <c r="S14" i="1"/>
  <c r="J14" i="1"/>
  <c r="O14" i="1"/>
  <c r="Q14" i="1"/>
  <c r="P14" i="1"/>
  <c r="AE14" i="1"/>
  <c r="AA14" i="1"/>
  <c r="W14" i="1"/>
  <c r="T14" i="1"/>
  <c r="N14" i="1"/>
  <c r="R14" i="1"/>
  <c r="V14" i="1"/>
  <c r="Z14" i="1"/>
  <c r="AD14" i="1"/>
  <c r="AH14" i="1"/>
  <c r="G14" i="1" l="1"/>
</calcChain>
</file>

<file path=xl/sharedStrings.xml><?xml version="1.0" encoding="utf-8"?>
<sst xmlns="http://schemas.openxmlformats.org/spreadsheetml/2006/main" count="43" uniqueCount="15">
  <si>
    <t>L</t>
  </si>
  <si>
    <t>dx</t>
  </si>
  <si>
    <t>dt</t>
  </si>
  <si>
    <t>t</t>
  </si>
  <si>
    <t>Cp</t>
  </si>
  <si>
    <t>r0</t>
  </si>
  <si>
    <t>lambda</t>
  </si>
  <si>
    <t>T</t>
  </si>
  <si>
    <t>T_end</t>
  </si>
  <si>
    <t>T_iter</t>
  </si>
  <si>
    <t>q_start</t>
  </si>
  <si>
    <t>q</t>
  </si>
  <si>
    <t>α</t>
  </si>
  <si>
    <t>T_gas</t>
  </si>
  <si>
    <r>
      <rPr>
        <sz val="11"/>
        <color theme="1"/>
        <rFont val="Calibri"/>
        <family val="2"/>
        <charset val="204"/>
      </rPr>
      <t>∆</t>
    </r>
    <r>
      <rPr>
        <sz val="9.35"/>
        <color theme="1"/>
        <rFont val="Calibri"/>
        <family val="2"/>
        <charset val="204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</si>
</sst>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9.35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1" xfId="0" applyFont="1" applyBorder="1"/>
    <xf numFmtId="0" fontId="0" fillId="0" borderId="1" xfId="0" applyBorder="1"/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T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Лист1!$F$11:$AJ$11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Лист1!$F$12:$AJ$12</c:f>
              <c:numCache>
                <c:formatCode>General</c:formatCode>
                <c:ptCount val="31"/>
                <c:pt idx="0">
                  <c:v>119.99999194634933</c:v>
                </c:pt>
                <c:pt idx="1">
                  <c:v>119.33332527968265</c:v>
                </c:pt>
                <c:pt idx="2">
                  <c:v>118.66665863584493</c:v>
                </c:pt>
                <c:pt idx="3">
                  <c:v>117.99999201477145</c:v>
                </c:pt>
                <c:pt idx="4">
                  <c:v>117.33332541633295</c:v>
                </c:pt>
                <c:pt idx="5">
                  <c:v>116.66665884033608</c:v>
                </c:pt>
                <c:pt idx="6">
                  <c:v>115.99999228652376</c:v>
                </c:pt>
                <c:pt idx="7">
                  <c:v>115.33332575457617</c:v>
                </c:pt>
                <c:pt idx="8">
                  <c:v>114.66665924411134</c:v>
                </c:pt>
                <c:pt idx="9">
                  <c:v>113.99999275468659</c:v>
                </c:pt>
                <c:pt idx="10">
                  <c:v>113.33332628579944</c:v>
                </c:pt>
                <c:pt idx="11">
                  <c:v>112.66665983688932</c:v>
                </c:pt>
                <c:pt idx="12">
                  <c:v>111.99999340733892</c:v>
                </c:pt>
                <c:pt idx="13">
                  <c:v>111.33332699647615</c:v>
                </c:pt>
                <c:pt idx="14">
                  <c:v>110.66666060357588</c:v>
                </c:pt>
                <c:pt idx="15">
                  <c:v>109.99999422786209</c:v>
                </c:pt>
                <c:pt idx="16">
                  <c:v>109.33332786851008</c:v>
                </c:pt>
                <c:pt idx="17">
                  <c:v>108.66666152464867</c:v>
                </c:pt>
                <c:pt idx="18">
                  <c:v>107.9999951953629</c:v>
                </c:pt>
                <c:pt idx="19">
                  <c:v>107.33332887969638</c:v>
                </c:pt>
                <c:pt idx="20">
                  <c:v>106.66666257665418</c:v>
                </c:pt>
                <c:pt idx="21">
                  <c:v>105.99999628520558</c:v>
                </c:pt>
                <c:pt idx="22">
                  <c:v>105.33333000428695</c:v>
                </c:pt>
                <c:pt idx="23">
                  <c:v>104.66666373280489</c:v>
                </c:pt>
                <c:pt idx="24">
                  <c:v>103.99999746963914</c:v>
                </c:pt>
                <c:pt idx="25">
                  <c:v>103.33333121364601</c:v>
                </c:pt>
                <c:pt idx="26">
                  <c:v>102.66666496366133</c:v>
                </c:pt>
                <c:pt idx="27">
                  <c:v>101.99999871850403</c:v>
                </c:pt>
                <c:pt idx="28">
                  <c:v>101.33333247697925</c:v>
                </c:pt>
                <c:pt idx="29">
                  <c:v>100.66666623788191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C7-47CC-A507-EBC3EBF88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Лист2!$E$12</c:f>
              <c:strCache>
                <c:ptCount val="1"/>
                <c:pt idx="0">
                  <c:v>T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Лист2!$F$11:$AJ$11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Лист2!$F$12:$AJ$12</c:f>
              <c:numCache>
                <c:formatCode>General</c:formatCode>
                <c:ptCount val="31"/>
                <c:pt idx="0">
                  <c:v>30.284266457552157</c:v>
                </c:pt>
                <c:pt idx="1">
                  <c:v>29.919049066247808</c:v>
                </c:pt>
                <c:pt idx="2">
                  <c:v>29.555737256709378</c:v>
                </c:pt>
                <c:pt idx="3">
                  <c:v>29.194325622842673</c:v>
                </c:pt>
                <c:pt idx="4">
                  <c:v>28.834803385794878</c:v>
                </c:pt>
                <c:pt idx="5">
                  <c:v>28.477154388689634</c:v>
                </c:pt>
                <c:pt idx="6">
                  <c:v>28.121357195645722</c:v>
                </c:pt>
                <c:pt idx="7">
                  <c:v>27.767385082520629</c:v>
                </c:pt>
                <c:pt idx="8">
                  <c:v>27.41520619868696</c:v>
                </c:pt>
                <c:pt idx="9">
                  <c:v>27.064783556262103</c:v>
                </c:pt>
                <c:pt idx="10">
                  <c:v>26.716075249894292</c:v>
                </c:pt>
                <c:pt idx="11">
                  <c:v>26.369034448024806</c:v>
                </c:pt>
                <c:pt idx="12">
                  <c:v>26.02360966429848</c:v>
                </c:pt>
                <c:pt idx="13">
                  <c:v>25.679744755278794</c:v>
                </c:pt>
                <c:pt idx="14">
                  <c:v>25.337379235708845</c:v>
                </c:pt>
                <c:pt idx="15">
                  <c:v>24.996448287728214</c:v>
                </c:pt>
                <c:pt idx="16">
                  <c:v>24.65688311112207</c:v>
                </c:pt>
                <c:pt idx="17">
                  <c:v>24.318610949433044</c:v>
                </c:pt>
                <c:pt idx="18">
                  <c:v>23.981555465587277</c:v>
                </c:pt>
                <c:pt idx="19">
                  <c:v>23.64563679032927</c:v>
                </c:pt>
                <c:pt idx="20">
                  <c:v>23.310771913228827</c:v>
                </c:pt>
                <c:pt idx="21">
                  <c:v>22.976874758581392</c:v>
                </c:pt>
                <c:pt idx="22">
                  <c:v>22.64385658178751</c:v>
                </c:pt>
                <c:pt idx="23">
                  <c:v>22.31162607726036</c:v>
                </c:pt>
                <c:pt idx="24">
                  <c:v>21.980089770522596</c:v>
                </c:pt>
                <c:pt idx="25">
                  <c:v>21.649152161766242</c:v>
                </c:pt>
                <c:pt idx="26">
                  <c:v>21.318716104707818</c:v>
                </c:pt>
                <c:pt idx="27">
                  <c:v>20.988682988288005</c:v>
                </c:pt>
                <c:pt idx="28">
                  <c:v>20.658953094327579</c:v>
                </c:pt>
                <c:pt idx="29">
                  <c:v>20.329425818482378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7A-48AF-9531-918570761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3355237070186"/>
          <c:y val="6.0601851851851872E-2"/>
          <c:w val="0.84390802318774893"/>
          <c:h val="0.71585209494280067"/>
        </c:manualLayout>
      </c:layout>
      <c:lineChart>
        <c:grouping val="standard"/>
        <c:varyColors val="0"/>
        <c:ser>
          <c:idx val="0"/>
          <c:order val="0"/>
          <c:tx>
            <c:strRef>
              <c:f>Лист3!$E$12</c:f>
              <c:strCache>
                <c:ptCount val="1"/>
                <c:pt idx="0">
                  <c:v>T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cat>
            <c:numRef>
              <c:f>Лист3!$F$11:$AJ$11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Лист3!$F$12:$AJ$12</c:f>
              <c:numCache>
                <c:formatCode>General</c:formatCode>
                <c:ptCount val="31"/>
                <c:pt idx="0">
                  <c:v>119.99999843263468</c:v>
                </c:pt>
                <c:pt idx="1">
                  <c:v>119.33333176596801</c:v>
                </c:pt>
                <c:pt idx="2">
                  <c:v>118.66666510374421</c:v>
                </c:pt>
                <c:pt idx="3">
                  <c:v>117.99999844595067</c:v>
                </c:pt>
                <c:pt idx="4">
                  <c:v>117.33333179256228</c:v>
                </c:pt>
                <c:pt idx="5">
                  <c:v>116.66666514354134</c:v>
                </c:pt>
                <c:pt idx="6">
                  <c:v>115.9999984988379</c:v>
                </c:pt>
                <c:pt idx="7">
                  <c:v>115.33333185838961</c:v>
                </c:pt>
                <c:pt idx="8">
                  <c:v>114.66666522212228</c:v>
                </c:pt>
                <c:pt idx="9">
                  <c:v>113.99999858994961</c:v>
                </c:pt>
                <c:pt idx="10">
                  <c:v>113.33333196177394</c:v>
                </c:pt>
                <c:pt idx="11">
                  <c:v>112.66666533748604</c:v>
                </c:pt>
                <c:pt idx="12">
                  <c:v>111.99999871696592</c:v>
                </c:pt>
                <c:pt idx="13">
                  <c:v>111.3333321000826</c:v>
                </c:pt>
                <c:pt idx="14">
                  <c:v>110.66666548669519</c:v>
                </c:pt>
                <c:pt idx="15">
                  <c:v>109.9999988766524</c:v>
                </c:pt>
                <c:pt idx="16">
                  <c:v>109.333332269794</c:v>
                </c:pt>
                <c:pt idx="17">
                  <c:v>108.66666566595018</c:v>
                </c:pt>
                <c:pt idx="18">
                  <c:v>107.99999906494311</c:v>
                </c:pt>
                <c:pt idx="19">
                  <c:v>107.33333246658646</c:v>
                </c:pt>
                <c:pt idx="20">
                  <c:v>106.6666658706868</c:v>
                </c:pt>
                <c:pt idx="21">
                  <c:v>105.99999927704334</c:v>
                </c:pt>
                <c:pt idx="22">
                  <c:v>105.33333268544926</c:v>
                </c:pt>
                <c:pt idx="23">
                  <c:v>104.66666609569162</c:v>
                </c:pt>
                <c:pt idx="24">
                  <c:v>103.99999950755253</c:v>
                </c:pt>
                <c:pt idx="25">
                  <c:v>103.33333292080927</c:v>
                </c:pt>
                <c:pt idx="26">
                  <c:v>102.66666633523542</c:v>
                </c:pt>
                <c:pt idx="27">
                  <c:v>101.99999975060099</c:v>
                </c:pt>
                <c:pt idx="28">
                  <c:v>101.33333316667355</c:v>
                </c:pt>
                <c:pt idx="29">
                  <c:v>100.6666665832185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7A-4D54-B35A-087F2D25D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400954440"/>
        <c:axId val="400952800"/>
      </c:lineChart>
      <c:catAx>
        <c:axId val="400954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2800"/>
        <c:crosses val="autoZero"/>
        <c:auto val="1"/>
        <c:lblAlgn val="ctr"/>
        <c:lblOffset val="100"/>
        <c:noMultiLvlLbl val="0"/>
      </c:catAx>
      <c:valAx>
        <c:axId val="40095280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095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533400</xdr:colOff>
      <xdr:row>15</xdr:row>
      <xdr:rowOff>148590</xdr:rowOff>
    </xdr:from>
    <xdr:to>
      <xdr:col>12</xdr:col>
      <xdr:colOff>502920</xdr:colOff>
      <xdr:row>31</xdr:row>
      <xdr:rowOff>38100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AJ15"/>
  <sheetViews>
    <sheetView topLeftCell="D4" zoomScale="70" zoomScaleNormal="70" workbookViewId="0">
      <selection activeCell="V34" sqref="V34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5000.2333333333345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119.99999194634933</v>
      </c>
      <c r="G12" s="1">
        <v>119.33332527968265</v>
      </c>
      <c r="H12" s="1">
        <v>118.66665863584493</v>
      </c>
      <c r="I12" s="1">
        <v>117.99999201477145</v>
      </c>
      <c r="J12" s="1">
        <v>117.33332541633295</v>
      </c>
      <c r="K12" s="1">
        <v>116.66665884033608</v>
      </c>
      <c r="L12" s="1">
        <v>115.99999228652376</v>
      </c>
      <c r="M12" s="1">
        <v>115.33332575457617</v>
      </c>
      <c r="N12" s="1">
        <v>114.66665924411134</v>
      </c>
      <c r="O12" s="1">
        <v>113.99999275468659</v>
      </c>
      <c r="P12" s="1">
        <v>113.33332628579944</v>
      </c>
      <c r="Q12" s="1">
        <v>112.66665983688932</v>
      </c>
      <c r="R12" s="1">
        <v>111.99999340733892</v>
      </c>
      <c r="S12" s="1">
        <v>111.33332699647615</v>
      </c>
      <c r="T12" s="1">
        <v>110.66666060357588</v>
      </c>
      <c r="U12" s="1">
        <v>109.99999422786209</v>
      </c>
      <c r="V12" s="1">
        <v>109.33332786851008</v>
      </c>
      <c r="W12" s="1">
        <v>108.66666152464867</v>
      </c>
      <c r="X12" s="1">
        <v>107.9999951953629</v>
      </c>
      <c r="Y12" s="1">
        <v>107.33332887969638</v>
      </c>
      <c r="Z12" s="1">
        <v>106.66666257665418</v>
      </c>
      <c r="AA12" s="1">
        <v>105.99999628520558</v>
      </c>
      <c r="AB12" s="1">
        <v>105.33333000428695</v>
      </c>
      <c r="AC12" s="1">
        <v>104.66666373280489</v>
      </c>
      <c r="AD12" s="1">
        <v>103.99999746963914</v>
      </c>
      <c r="AE12" s="1">
        <v>103.33333121364601</v>
      </c>
      <c r="AF12" s="1">
        <v>102.66666496366133</v>
      </c>
      <c r="AG12" s="1">
        <v>101.99999871850403</v>
      </c>
      <c r="AH12" s="1">
        <v>101.33333247697925</v>
      </c>
      <c r="AI12" s="1">
        <v>100.66666623788191</v>
      </c>
      <c r="AJ12" s="1">
        <f>B12</f>
        <v>100</v>
      </c>
    </row>
    <row r="14" spans="1:36" x14ac:dyDescent="0.3">
      <c r="E14" t="s">
        <v>9</v>
      </c>
      <c r="G14">
        <f>G12+$B$8*$B$3/($B$7*$B$6)*(H12-2*G12+F12)/$B$2^2</f>
        <v>119.33332529109713</v>
      </c>
      <c r="H14">
        <f t="shared" ref="H14:AI14" si="1">H12+$B$8*$B$3/($B$7*$B$6)*(I12-2*H12+G12)/$B$2^2</f>
        <v>118.66665864722705</v>
      </c>
      <c r="I14">
        <f t="shared" si="1"/>
        <v>117.99999202608893</v>
      </c>
      <c r="J14">
        <f t="shared" si="1"/>
        <v>117.33332542755377</v>
      </c>
      <c r="K14">
        <f t="shared" si="1"/>
        <v>116.66665885142837</v>
      </c>
      <c r="L14">
        <f t="shared" si="1"/>
        <v>115.99999229745612</v>
      </c>
      <c r="M14">
        <f t="shared" si="1"/>
        <v>115.33332576531755</v>
      </c>
      <c r="N14">
        <f t="shared" si="1"/>
        <v>114.66665925463138</v>
      </c>
      <c r="O14">
        <f t="shared" si="1"/>
        <v>113.99999276495539</v>
      </c>
      <c r="P14">
        <f t="shared" si="1"/>
        <v>113.33332629578796</v>
      </c>
      <c r="Q14">
        <f t="shared" si="1"/>
        <v>112.66665984656919</v>
      </c>
      <c r="R14">
        <f t="shared" si="1"/>
        <v>111.99999341668274</v>
      </c>
      <c r="S14">
        <f t="shared" si="1"/>
        <v>111.33332700545739</v>
      </c>
      <c r="T14">
        <f t="shared" si="1"/>
        <v>110.66666061216912</v>
      </c>
      <c r="U14">
        <f t="shared" si="1"/>
        <v>109.99999423604298</v>
      </c>
      <c r="V14">
        <f t="shared" si="1"/>
        <v>109.33332787625538</v>
      </c>
      <c r="W14">
        <f t="shared" si="1"/>
        <v>108.66666153193648</v>
      </c>
      <c r="X14">
        <f t="shared" si="1"/>
        <v>107.99999520217253</v>
      </c>
      <c r="Y14">
        <f t="shared" si="1"/>
        <v>107.33332888600853</v>
      </c>
      <c r="Z14">
        <f t="shared" si="1"/>
        <v>106.66666258245098</v>
      </c>
      <c r="AA14">
        <f t="shared" si="1"/>
        <v>105.99999629047056</v>
      </c>
      <c r="AB14">
        <f t="shared" si="1"/>
        <v>105.33333000900524</v>
      </c>
      <c r="AC14">
        <f t="shared" si="1"/>
        <v>104.66666373696305</v>
      </c>
      <c r="AD14">
        <f t="shared" si="1"/>
        <v>103.99999747322545</v>
      </c>
      <c r="AE14">
        <f t="shared" si="1"/>
        <v>103.33333121665024</v>
      </c>
      <c r="AF14">
        <f t="shared" si="1"/>
        <v>102.66666496607502</v>
      </c>
      <c r="AG14">
        <f t="shared" si="1"/>
        <v>101.99999872032029</v>
      </c>
      <c r="AH14">
        <f t="shared" si="1"/>
        <v>101.33333247819297</v>
      </c>
      <c r="AI14">
        <f t="shared" si="1"/>
        <v>100.66666623848963</v>
      </c>
    </row>
    <row r="15" spans="1:36" x14ac:dyDescent="0.3"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9199.9996849606614</v>
      </c>
      <c r="I15">
        <f t="shared" si="2"/>
        <v>9199.99937081395</v>
      </c>
      <c r="J15">
        <f t="shared" si="2"/>
        <v>9199.9990584512489</v>
      </c>
      <c r="K15">
        <f t="shared" si="2"/>
        <v>9199.9987487568178</v>
      </c>
      <c r="L15">
        <f t="shared" si="2"/>
        <v>9199.9984426100127</v>
      </c>
      <c r="M15">
        <f t="shared" si="2"/>
        <v>9199.9981408768544</v>
      </c>
      <c r="N15">
        <f t="shared" si="2"/>
        <v>9199.9978444145399</v>
      </c>
      <c r="O15">
        <f t="shared" si="2"/>
        <v>9199.9975540616324</v>
      </c>
      <c r="P15">
        <f t="shared" si="2"/>
        <v>9199.9972706425797</v>
      </c>
      <c r="Q15">
        <f t="shared" si="2"/>
        <v>9199.9969949596671</v>
      </c>
      <c r="R15">
        <f t="shared" si="2"/>
        <v>9199.9967277955675</v>
      </c>
      <c r="S15">
        <f t="shared" si="2"/>
        <v>9199.9964699062839</v>
      </c>
      <c r="T15">
        <f t="shared" si="2"/>
        <v>9199.9962220236994</v>
      </c>
      <c r="U15">
        <f t="shared" si="2"/>
        <v>9199.9959848502785</v>
      </c>
      <c r="V15">
        <f t="shared" si="2"/>
        <v>9199.995759057696</v>
      </c>
      <c r="W15">
        <f t="shared" si="2"/>
        <v>9199.9955452874292</v>
      </c>
      <c r="X15">
        <f t="shared" si="2"/>
        <v>9199.9953441436919</v>
      </c>
      <c r="Y15">
        <f t="shared" si="2"/>
        <v>9199.9951561979487</v>
      </c>
      <c r="Z15">
        <f t="shared" si="2"/>
        <v>9199.9949819824396</v>
      </c>
      <c r="AA15">
        <f t="shared" si="2"/>
        <v>9199.9948219905764</v>
      </c>
      <c r="AB15">
        <f t="shared" si="2"/>
        <v>9199.9946766771409</v>
      </c>
      <c r="AC15">
        <f t="shared" si="2"/>
        <v>9199.9945464523935</v>
      </c>
      <c r="AD15">
        <f t="shared" si="2"/>
        <v>9199.9944316873716</v>
      </c>
      <c r="AE15">
        <f t="shared" si="2"/>
        <v>9199.9943327052679</v>
      </c>
      <c r="AF15">
        <f t="shared" si="2"/>
        <v>9199.9942497884767</v>
      </c>
      <c r="AG15">
        <f t="shared" si="2"/>
        <v>9199.9941831707638</v>
      </c>
      <c r="AH15">
        <f t="shared" si="2"/>
        <v>9199.9941330419624</v>
      </c>
      <c r="AI15">
        <f t="shared" si="2"/>
        <v>9199.9940995432717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AJ15"/>
  <sheetViews>
    <sheetView zoomScale="85" zoomScaleNormal="85" workbookViewId="0">
      <selection activeCell="V32" sqref="V32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1000</v>
      </c>
      <c r="C4">
        <v>1000.1333333333334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G12+($B$14*($B$12-$B$15)*$B$2)/$B$8</f>
        <v>30.284266457552157</v>
      </c>
      <c r="G12" s="1">
        <v>29.919049066247808</v>
      </c>
      <c r="H12" s="1">
        <v>29.555737256709378</v>
      </c>
      <c r="I12" s="1">
        <v>29.194325622842673</v>
      </c>
      <c r="J12" s="1">
        <v>28.834803385794878</v>
      </c>
      <c r="K12" s="1">
        <v>28.477154388689634</v>
      </c>
      <c r="L12" s="1">
        <v>28.121357195645722</v>
      </c>
      <c r="M12" s="1">
        <v>27.767385082520629</v>
      </c>
      <c r="N12" s="1">
        <v>27.41520619868696</v>
      </c>
      <c r="O12" s="1">
        <v>27.064783556262103</v>
      </c>
      <c r="P12" s="1">
        <v>26.716075249894292</v>
      </c>
      <c r="Q12" s="1">
        <v>26.369034448024806</v>
      </c>
      <c r="R12" s="1">
        <v>26.02360966429848</v>
      </c>
      <c r="S12" s="1">
        <v>25.679744755278794</v>
      </c>
      <c r="T12" s="1">
        <v>25.337379235708845</v>
      </c>
      <c r="U12" s="1">
        <v>24.996448287728214</v>
      </c>
      <c r="V12" s="1">
        <v>24.65688311112207</v>
      </c>
      <c r="W12" s="1">
        <v>24.318610949433044</v>
      </c>
      <c r="X12" s="1">
        <v>23.981555465587277</v>
      </c>
      <c r="Y12" s="1">
        <v>23.64563679032927</v>
      </c>
      <c r="Z12" s="1">
        <v>23.310771913228827</v>
      </c>
      <c r="AA12" s="1">
        <v>22.976874758581392</v>
      </c>
      <c r="AB12" s="1">
        <v>22.64385658178751</v>
      </c>
      <c r="AC12" s="1">
        <v>22.31162607726036</v>
      </c>
      <c r="AD12" s="1">
        <v>21.980089770522596</v>
      </c>
      <c r="AE12" s="1">
        <v>21.649152161766242</v>
      </c>
      <c r="AF12" s="1">
        <v>21.318716104707818</v>
      </c>
      <c r="AG12" s="1">
        <v>20.988682988288005</v>
      </c>
      <c r="AH12" s="1">
        <v>20.658953094327579</v>
      </c>
      <c r="AI12" s="1">
        <v>20.329425818482378</v>
      </c>
      <c r="AJ12" s="1">
        <v>20</v>
      </c>
    </row>
    <row r="14" spans="1:36" x14ac:dyDescent="0.3">
      <c r="A14" s="6" t="s">
        <v>12</v>
      </c>
      <c r="B14" s="7">
        <v>63</v>
      </c>
      <c r="E14" t="s">
        <v>9</v>
      </c>
      <c r="G14">
        <f>G12+(($B$8*$B$3)/($B$7*$B$6))*(H12-2*G12+F12)/$B$2^2</f>
        <v>29.920001857130767</v>
      </c>
      <c r="H14">
        <f t="shared" ref="H14:AI14" si="1">H12+(($B$8*$B$3)/($B$7*$B$6))*(I12-2*H12+G12)/$B$2^2</f>
        <v>29.556687344545239</v>
      </c>
      <c r="I14">
        <f t="shared" si="1"/>
        <v>29.195270321252128</v>
      </c>
      <c r="J14">
        <f t="shared" si="1"/>
        <v>28.835740005766155</v>
      </c>
      <c r="K14">
        <f t="shared" si="1"/>
        <v>28.4780802907203</v>
      </c>
      <c r="L14">
        <f t="shared" si="1"/>
        <v>28.12226973560513</v>
      </c>
      <c r="M14">
        <f t="shared" si="1"/>
        <v>27.768281697166341</v>
      </c>
      <c r="N14">
        <f t="shared" si="1"/>
        <v>27.416084319391366</v>
      </c>
      <c r="O14">
        <f t="shared" si="1"/>
        <v>27.065640724290624</v>
      </c>
      <c r="P14">
        <f t="shared" si="1"/>
        <v>26.716909002143453</v>
      </c>
      <c r="Q14">
        <f t="shared" si="1"/>
        <v>26.369842457096386</v>
      </c>
      <c r="R14">
        <f t="shared" si="1"/>
        <v>26.024389601651798</v>
      </c>
      <c r="S14">
        <f t="shared" si="1"/>
        <v>25.680494450003664</v>
      </c>
      <c r="T14">
        <f t="shared" si="1"/>
        <v>25.338096521503502</v>
      </c>
      <c r="U14">
        <f t="shared" si="1"/>
        <v>24.997131173415458</v>
      </c>
      <c r="V14">
        <f t="shared" si="1"/>
        <v>24.657529618580629</v>
      </c>
      <c r="W14">
        <f t="shared" si="1"/>
        <v>24.319219288354674</v>
      </c>
      <c r="X14">
        <f t="shared" si="1"/>
        <v>23.982123869881157</v>
      </c>
      <c r="Y14">
        <f t="shared" si="1"/>
        <v>23.646163689408052</v>
      </c>
      <c r="Z14">
        <f t="shared" si="1"/>
        <v>23.311255774455333</v>
      </c>
      <c r="AA14">
        <f t="shared" si="1"/>
        <v>22.977314247508168</v>
      </c>
      <c r="AB14">
        <f t="shared" si="1"/>
        <v>22.644250417920876</v>
      </c>
      <c r="AC14">
        <f t="shared" si="1"/>
        <v>22.311973176155053</v>
      </c>
      <c r="AD14">
        <f t="shared" si="1"/>
        <v>21.980389119513301</v>
      </c>
      <c r="AE14">
        <f t="shared" si="1"/>
        <v>21.649402937615207</v>
      </c>
      <c r="AF14">
        <f t="shared" si="1"/>
        <v>21.318917575027122</v>
      </c>
      <c r="AG14">
        <f t="shared" si="1"/>
        <v>20.988834599517698</v>
      </c>
      <c r="AH14">
        <f t="shared" si="1"/>
        <v>20.659054403385191</v>
      </c>
      <c r="AI14">
        <f t="shared" si="1"/>
        <v>20.329476547163789</v>
      </c>
    </row>
    <row r="15" spans="1:36" x14ac:dyDescent="0.3">
      <c r="A15" s="8" t="s">
        <v>13</v>
      </c>
      <c r="B15" s="7">
        <v>20</v>
      </c>
      <c r="E15" s="9" t="s">
        <v>14</v>
      </c>
      <c r="F15">
        <f>B12-B15</f>
        <v>80</v>
      </c>
      <c r="G15">
        <f>(F12-G12)*$B$8/($B$14*$B$2)</f>
        <v>80.000000000000114</v>
      </c>
      <c r="H15">
        <f t="shared" ref="H15:AI15" si="2">(G12-H12)*$B$8/($B$14*$B$2)</f>
        <v>79.582586851275238</v>
      </c>
      <c r="I15">
        <f t="shared" si="2"/>
        <v>79.166357894611622</v>
      </c>
      <c r="J15">
        <f t="shared" si="2"/>
        <v>78.752490019993147</v>
      </c>
      <c r="K15">
        <f t="shared" si="2"/>
        <v>78.342161270672463</v>
      </c>
      <c r="L15">
        <f t="shared" si="2"/>
        <v>77.93652800009508</v>
      </c>
      <c r="M15">
        <f t="shared" si="2"/>
        <v>77.536748589305887</v>
      </c>
      <c r="N15">
        <f t="shared" si="2"/>
        <v>77.143945982613346</v>
      </c>
      <c r="O15">
        <f t="shared" si="2"/>
        <v>76.759245483539971</v>
      </c>
      <c r="P15">
        <f t="shared" si="2"/>
        <v>76.383724251996767</v>
      </c>
      <c r="Q15">
        <f t="shared" si="2"/>
        <v>76.018461361887432</v>
      </c>
      <c r="R15">
        <f t="shared" si="2"/>
        <v>75.664476435290453</v>
      </c>
      <c r="S15">
        <f t="shared" si="2"/>
        <v>75.322789594788389</v>
      </c>
      <c r="T15">
        <f t="shared" si="2"/>
        <v>74.994351905798311</v>
      </c>
      <c r="U15">
        <f t="shared" si="2"/>
        <v>74.680112414804896</v>
      </c>
      <c r="V15">
        <f t="shared" si="2"/>
        <v>74.380943447059977</v>
      </c>
      <c r="W15">
        <f t="shared" si="2"/>
        <v>74.097711608072473</v>
      </c>
      <c r="X15">
        <f t="shared" si="2"/>
        <v>73.831201223358363</v>
      </c>
      <c r="Y15">
        <f t="shared" si="2"/>
        <v>73.582186008896812</v>
      </c>
      <c r="Z15">
        <f t="shared" si="2"/>
        <v>73.351354031525702</v>
      </c>
      <c r="AA15">
        <f t="shared" si="2"/>
        <v>73.139376732295219</v>
      </c>
      <c r="AB15">
        <f t="shared" si="2"/>
        <v>72.946838726278855</v>
      </c>
      <c r="AC15">
        <f t="shared" si="2"/>
        <v>72.774300991661391</v>
      </c>
      <c r="AD15">
        <f t="shared" si="2"/>
        <v>72.622238618748284</v>
      </c>
      <c r="AE15">
        <f t="shared" si="2"/>
        <v>72.491095251391883</v>
      </c>
      <c r="AF15">
        <f t="shared" si="2"/>
        <v>72.381231546131048</v>
      </c>
      <c r="AG15">
        <f t="shared" si="2"/>
        <v>72.292968358625629</v>
      </c>
      <c r="AH15">
        <f t="shared" si="2"/>
        <v>72.226548200855234</v>
      </c>
      <c r="AI15">
        <f t="shared" si="2"/>
        <v>72.182165185139368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tabSelected="1" zoomScale="55" zoomScaleNormal="55" workbookViewId="0">
      <selection activeCell="B4" sqref="B4"/>
    </sheetView>
  </sheetViews>
  <sheetFormatPr defaultRowHeight="14.4" x14ac:dyDescent="0.3"/>
  <cols>
    <col min="2" max="2" width="10.44140625" bestFit="1" customWidth="1"/>
  </cols>
  <sheetData>
    <row r="1" spans="1:36" x14ac:dyDescent="0.3">
      <c r="A1" s="1" t="s">
        <v>0</v>
      </c>
      <c r="B1" s="1">
        <v>0.1</v>
      </c>
    </row>
    <row r="2" spans="1:36" x14ac:dyDescent="0.3">
      <c r="A2" s="1" t="s">
        <v>1</v>
      </c>
      <c r="B2" s="2">
        <f>0.1/30</f>
        <v>3.3333333333333335E-3</v>
      </c>
    </row>
    <row r="3" spans="1:36" x14ac:dyDescent="0.3">
      <c r="A3" s="1" t="s">
        <v>2</v>
      </c>
      <c r="B3" s="3">
        <f>B6*B7*B2^2/(2*B8)</f>
        <v>0.4333333333333334</v>
      </c>
    </row>
    <row r="4" spans="1:36" x14ac:dyDescent="0.3">
      <c r="A4" s="1" t="s">
        <v>3</v>
      </c>
      <c r="B4" s="1">
        <v>5000</v>
      </c>
      <c r="C4">
        <v>500.06666666666672</v>
      </c>
    </row>
    <row r="5" spans="1:36" x14ac:dyDescent="0.3">
      <c r="A5" s="4"/>
      <c r="B5" s="4"/>
    </row>
    <row r="6" spans="1:36" x14ac:dyDescent="0.3">
      <c r="A6" s="1" t="s">
        <v>4</v>
      </c>
      <c r="B6" s="1">
        <v>460</v>
      </c>
    </row>
    <row r="7" spans="1:36" x14ac:dyDescent="0.3">
      <c r="A7" s="1" t="s">
        <v>5</v>
      </c>
      <c r="B7" s="1">
        <v>7800</v>
      </c>
    </row>
    <row r="8" spans="1:36" x14ac:dyDescent="0.3">
      <c r="A8" s="1" t="s">
        <v>6</v>
      </c>
      <c r="B8" s="1">
        <v>46</v>
      </c>
    </row>
    <row r="9" spans="1:36" x14ac:dyDescent="0.3">
      <c r="A9" s="4"/>
      <c r="B9" s="4"/>
    </row>
    <row r="10" spans="1:36" x14ac:dyDescent="0.3">
      <c r="A10" s="4"/>
      <c r="B10" s="4"/>
      <c r="E10" s="1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3">
      <c r="A11" s="1" t="s">
        <v>10</v>
      </c>
      <c r="B11" s="1">
        <v>9200</v>
      </c>
      <c r="E11" s="1" t="s">
        <v>0</v>
      </c>
      <c r="F11" s="1">
        <v>0</v>
      </c>
      <c r="G11" s="2">
        <f>F11+$B$2</f>
        <v>3.3333333333333335E-3</v>
      </c>
      <c r="H11" s="2">
        <f t="shared" ref="H11:AJ11" si="0">G11+$B$2</f>
        <v>6.6666666666666671E-3</v>
      </c>
      <c r="I11" s="2">
        <f t="shared" si="0"/>
        <v>0.01</v>
      </c>
      <c r="J11" s="2">
        <f t="shared" si="0"/>
        <v>1.3333333333333334E-2</v>
      </c>
      <c r="K11" s="2">
        <f t="shared" si="0"/>
        <v>1.6666666666666666E-2</v>
      </c>
      <c r="L11" s="2">
        <f t="shared" si="0"/>
        <v>0.02</v>
      </c>
      <c r="M11" s="2">
        <f t="shared" si="0"/>
        <v>2.3333333333333334E-2</v>
      </c>
      <c r="N11" s="2">
        <f t="shared" si="0"/>
        <v>2.6666666666666668E-2</v>
      </c>
      <c r="O11" s="2">
        <f t="shared" si="0"/>
        <v>3.0000000000000002E-2</v>
      </c>
      <c r="P11" s="2">
        <f t="shared" si="0"/>
        <v>3.3333333333333333E-2</v>
      </c>
      <c r="Q11" s="2">
        <f t="shared" si="0"/>
        <v>3.6666666666666667E-2</v>
      </c>
      <c r="R11" s="2">
        <f t="shared" si="0"/>
        <v>0.04</v>
      </c>
      <c r="S11" s="2">
        <f t="shared" si="0"/>
        <v>4.3333333333333335E-2</v>
      </c>
      <c r="T11" s="2">
        <f t="shared" si="0"/>
        <v>4.6666666666666669E-2</v>
      </c>
      <c r="U11" s="2">
        <f t="shared" si="0"/>
        <v>0.05</v>
      </c>
      <c r="V11" s="2">
        <f t="shared" si="0"/>
        <v>5.3333333333333337E-2</v>
      </c>
      <c r="W11" s="2">
        <f t="shared" si="0"/>
        <v>5.6666666666666671E-2</v>
      </c>
      <c r="X11" s="2">
        <f t="shared" si="0"/>
        <v>6.0000000000000005E-2</v>
      </c>
      <c r="Y11" s="2">
        <f t="shared" si="0"/>
        <v>6.3333333333333339E-2</v>
      </c>
      <c r="Z11" s="2">
        <f t="shared" si="0"/>
        <v>6.6666666666666666E-2</v>
      </c>
      <c r="AA11" s="2">
        <f t="shared" si="0"/>
        <v>6.9999999999999993E-2</v>
      </c>
      <c r="AB11" s="2">
        <f t="shared" si="0"/>
        <v>7.333333333333332E-2</v>
      </c>
      <c r="AC11" s="2">
        <f t="shared" si="0"/>
        <v>7.6666666666666647E-2</v>
      </c>
      <c r="AD11" s="2">
        <f t="shared" si="0"/>
        <v>7.9999999999999974E-2</v>
      </c>
      <c r="AE11" s="2">
        <f t="shared" si="0"/>
        <v>8.3333333333333301E-2</v>
      </c>
      <c r="AF11" s="2">
        <f t="shared" si="0"/>
        <v>8.6666666666666628E-2</v>
      </c>
      <c r="AG11" s="2">
        <f t="shared" si="0"/>
        <v>8.9999999999999955E-2</v>
      </c>
      <c r="AH11" s="2">
        <f t="shared" si="0"/>
        <v>9.3333333333333282E-2</v>
      </c>
      <c r="AI11" s="2">
        <f t="shared" si="0"/>
        <v>9.6666666666666609E-2</v>
      </c>
      <c r="AJ11" s="2">
        <f t="shared" si="0"/>
        <v>9.9999999999999936E-2</v>
      </c>
    </row>
    <row r="12" spans="1:36" x14ac:dyDescent="0.3">
      <c r="A12" s="1" t="s">
        <v>8</v>
      </c>
      <c r="B12" s="1">
        <v>100</v>
      </c>
      <c r="E12" s="1" t="s">
        <v>7</v>
      </c>
      <c r="F12" s="1">
        <f>B11/B8*B2+G12</f>
        <v>119.99999843263468</v>
      </c>
      <c r="G12" s="1">
        <v>119.33333176596801</v>
      </c>
      <c r="H12" s="1">
        <v>118.66666510374421</v>
      </c>
      <c r="I12" s="1">
        <v>117.99999844595067</v>
      </c>
      <c r="J12" s="1">
        <v>117.33333179256228</v>
      </c>
      <c r="K12" s="1">
        <v>116.66666514354134</v>
      </c>
      <c r="L12" s="1">
        <v>115.9999984988379</v>
      </c>
      <c r="M12" s="1">
        <v>115.33333185838961</v>
      </c>
      <c r="N12" s="1">
        <v>114.66666522212228</v>
      </c>
      <c r="O12" s="1">
        <v>113.99999858994961</v>
      </c>
      <c r="P12" s="1">
        <v>113.33333196177394</v>
      </c>
      <c r="Q12" s="1">
        <v>112.66666533748604</v>
      </c>
      <c r="R12" s="1">
        <v>111.99999871696592</v>
      </c>
      <c r="S12" s="1">
        <v>111.3333321000826</v>
      </c>
      <c r="T12" s="1">
        <v>110.66666548669519</v>
      </c>
      <c r="U12" s="1">
        <v>109.9999988766524</v>
      </c>
      <c r="V12" s="1">
        <v>109.333332269794</v>
      </c>
      <c r="W12" s="1">
        <v>108.66666566595018</v>
      </c>
      <c r="X12" s="1">
        <v>107.99999906494311</v>
      </c>
      <c r="Y12" s="1">
        <v>107.33333246658646</v>
      </c>
      <c r="Z12" s="1">
        <v>106.6666658706868</v>
      </c>
      <c r="AA12" s="1">
        <v>105.99999927704334</v>
      </c>
      <c r="AB12" s="1">
        <v>105.33333268544926</v>
      </c>
      <c r="AC12" s="1">
        <v>104.66666609569162</v>
      </c>
      <c r="AD12" s="1">
        <v>103.99999950755253</v>
      </c>
      <c r="AE12" s="1">
        <v>103.33333292080927</v>
      </c>
      <c r="AF12" s="1">
        <v>102.66666633523542</v>
      </c>
      <c r="AG12" s="1">
        <v>101.99999975060099</v>
      </c>
      <c r="AH12" s="1">
        <v>101.33333316667355</v>
      </c>
      <c r="AI12" s="1">
        <v>100.6666665832185</v>
      </c>
      <c r="AJ12" s="1">
        <f>B12</f>
        <v>100</v>
      </c>
    </row>
    <row r="14" spans="1:36" x14ac:dyDescent="0.3">
      <c r="A14" s="6" t="s">
        <v>12</v>
      </c>
      <c r="B14" s="7"/>
      <c r="E14" t="s">
        <v>9</v>
      </c>
      <c r="G14">
        <f>G12+$B$8*$B$3/($B$7*$B$6)*(H12-2*G12+F12)/$B$2^2</f>
        <v>119.33333176818945</v>
      </c>
      <c r="H14">
        <f t="shared" ref="H14:AI14" si="1">H12+$B$8*$B$3/($B$7*$B$6)*(I12-2*H12+G12)/$B$2^2</f>
        <v>118.66666510595934</v>
      </c>
      <c r="I14">
        <f t="shared" si="1"/>
        <v>117.99999844815324</v>
      </c>
      <c r="J14">
        <f t="shared" si="1"/>
        <v>117.333331794746</v>
      </c>
      <c r="K14">
        <f t="shared" si="1"/>
        <v>116.66666514570008</v>
      </c>
      <c r="L14">
        <f t="shared" si="1"/>
        <v>115.99999850096548</v>
      </c>
      <c r="M14">
        <f t="shared" si="1"/>
        <v>115.33333186048009</v>
      </c>
      <c r="N14">
        <f t="shared" si="1"/>
        <v>114.66666522416961</v>
      </c>
      <c r="O14">
        <f t="shared" si="1"/>
        <v>113.9999985919481</v>
      </c>
      <c r="P14">
        <f t="shared" si="1"/>
        <v>113.33333196371782</v>
      </c>
      <c r="Q14">
        <f t="shared" si="1"/>
        <v>112.66666533936993</v>
      </c>
      <c r="R14">
        <f t="shared" si="1"/>
        <v>111.99999871878433</v>
      </c>
      <c r="S14">
        <f t="shared" si="1"/>
        <v>111.33333210183056</v>
      </c>
      <c r="T14">
        <f t="shared" si="1"/>
        <v>110.6666654883675</v>
      </c>
      <c r="U14">
        <f t="shared" si="1"/>
        <v>109.9999988782446</v>
      </c>
      <c r="V14">
        <f t="shared" si="1"/>
        <v>109.33333227130129</v>
      </c>
      <c r="W14">
        <f t="shared" si="1"/>
        <v>108.66666566736856</v>
      </c>
      <c r="X14">
        <f t="shared" si="1"/>
        <v>107.99999906626832</v>
      </c>
      <c r="Y14">
        <f t="shared" si="1"/>
        <v>107.33333246781496</v>
      </c>
      <c r="Z14">
        <f t="shared" si="1"/>
        <v>106.6666658718149</v>
      </c>
      <c r="AA14">
        <f t="shared" si="1"/>
        <v>105.99999927806803</v>
      </c>
      <c r="AB14">
        <f t="shared" si="1"/>
        <v>105.33333268636748</v>
      </c>
      <c r="AC14">
        <f t="shared" si="1"/>
        <v>104.6666660965009</v>
      </c>
      <c r="AD14">
        <f t="shared" si="1"/>
        <v>103.99999950825045</v>
      </c>
      <c r="AE14">
        <f t="shared" si="1"/>
        <v>103.33333292139397</v>
      </c>
      <c r="AF14">
        <f t="shared" si="1"/>
        <v>102.66666633570513</v>
      </c>
      <c r="AG14">
        <f t="shared" si="1"/>
        <v>101.99999975095449</v>
      </c>
      <c r="AH14">
        <f t="shared" si="1"/>
        <v>101.33333316690974</v>
      </c>
      <c r="AI14">
        <f t="shared" si="1"/>
        <v>100.66666658333678</v>
      </c>
    </row>
    <row r="15" spans="1:36" x14ac:dyDescent="0.3">
      <c r="A15" s="8" t="s">
        <v>13</v>
      </c>
      <c r="B15" s="7"/>
      <c r="E15" s="5" t="s">
        <v>11</v>
      </c>
      <c r="F15">
        <v>9200</v>
      </c>
      <c r="G15">
        <f>-$B$8*(G12-F12)/$B$2</f>
        <v>9200.0000000000655</v>
      </c>
      <c r="H15">
        <f t="shared" ref="H15:AI15" si="2">-$B$8*(H12-G12)/$B$2</f>
        <v>9199.9999386884938</v>
      </c>
      <c r="I15">
        <f t="shared" si="2"/>
        <v>9199.9998775508739</v>
      </c>
      <c r="J15">
        <f t="shared" si="2"/>
        <v>9199.9998167597787</v>
      </c>
      <c r="K15">
        <f t="shared" si="2"/>
        <v>9199.9997564889636</v>
      </c>
      <c r="L15">
        <f t="shared" si="2"/>
        <v>9199.9996969074746</v>
      </c>
      <c r="M15">
        <f t="shared" si="2"/>
        <v>9199.9996381863184</v>
      </c>
      <c r="N15">
        <f t="shared" si="2"/>
        <v>9199.9995804892478</v>
      </c>
      <c r="O15">
        <f t="shared" si="2"/>
        <v>9199.9995239827585</v>
      </c>
      <c r="P15">
        <f t="shared" si="2"/>
        <v>9199.9994688243296</v>
      </c>
      <c r="Q15">
        <f t="shared" si="2"/>
        <v>9199.9994151730043</v>
      </c>
      <c r="R15">
        <f t="shared" si="2"/>
        <v>9199.9993631776306</v>
      </c>
      <c r="S15">
        <f t="shared" si="2"/>
        <v>9199.9993129897994</v>
      </c>
      <c r="T15">
        <f t="shared" si="2"/>
        <v>9199.9992647462022</v>
      </c>
      <c r="U15">
        <f t="shared" si="2"/>
        <v>9199.9992185905849</v>
      </c>
      <c r="V15">
        <f t="shared" si="2"/>
        <v>9199.9991746459091</v>
      </c>
      <c r="W15">
        <f t="shared" si="2"/>
        <v>9199.9991330447465</v>
      </c>
      <c r="X15">
        <f t="shared" si="2"/>
        <v>9199.9990938975061</v>
      </c>
      <c r="Y15">
        <f t="shared" si="2"/>
        <v>9199.9990573218511</v>
      </c>
      <c r="Z15">
        <f t="shared" si="2"/>
        <v>9199.9990234152519</v>
      </c>
      <c r="AA15">
        <f t="shared" si="2"/>
        <v>9199.9989922796849</v>
      </c>
      <c r="AB15">
        <f t="shared" si="2"/>
        <v>9199.9989639982996</v>
      </c>
      <c r="AC15">
        <f t="shared" si="2"/>
        <v>9199.9989386554225</v>
      </c>
      <c r="AD15">
        <f t="shared" si="2"/>
        <v>9199.9989163194969</v>
      </c>
      <c r="AE15">
        <f t="shared" si="2"/>
        <v>9199.9988970570048</v>
      </c>
      <c r="AF15">
        <f t="shared" si="2"/>
        <v>9199.9988809191309</v>
      </c>
      <c r="AG15">
        <f t="shared" si="2"/>
        <v>9199.9988679550952</v>
      </c>
      <c r="AH15">
        <f t="shared" si="2"/>
        <v>9199.9988581986345</v>
      </c>
      <c r="AI15">
        <f t="shared" si="2"/>
        <v>9199.9988516797475</v>
      </c>
    </row>
  </sheetData>
  <conditionalFormatting sqref="F12:AJ12">
    <cfRule type="colorScale" priority="1">
      <colorScale>
        <cfvo type="min"/>
        <cfvo type="percentile" val="50"/>
        <cfvo type="max"/>
        <color theme="8"/>
        <color rgb="FFFFFF00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Ivanov Igorek</dc:creator>
  <cp:lastModifiedBy>Игорь</cp:lastModifiedBy>
  <dcterms:created xsi:type="dcterms:W3CDTF">2021-02-25T07:14:50Z</dcterms:created>
  <dcterms:modified xsi:type="dcterms:W3CDTF">2021-03-10T17:50:41Z</dcterms:modified>
</cp:coreProperties>
</file>